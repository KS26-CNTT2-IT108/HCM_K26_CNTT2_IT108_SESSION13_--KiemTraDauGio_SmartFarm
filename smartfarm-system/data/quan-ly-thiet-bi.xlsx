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0" name="_xlnm._FilterDatabase" vbProcedure="false">'danh-muc-linh-kien'!$A$1:$D$6</definedName>
    <definedName function="false" hidden="true" localSheetId="1" name="_xlnm._FilterDatabase" vbProcedure="false">'trang-thai-tram'!$A$1:$F$9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<sst xmlns="http://schemas.openxmlformats.org/spreadsheetml/2006/main" count="49" uniqueCount="35">
  <si>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ma_linh_kien</t>
  </si>
  <si>
    <t xml:space="preserve">ten_thiet_bi</t>
  </si>
  <si>
    <t xml:space="preserve">don_gia</t>
  </si>
  <si>
    <t xml:space="preserve">loai_storage</t>
  </si>
  <si>
    <t xml:space="preserve">LK001</t>
  </si>
  <si>
    <t xml:space="preserve">Raspberry Pi 4 4GB</t>
  </si>
  <si>
    <t xml:space="preserve">SSD</t>
  </si>
  <si>
    <t xml:space="preserve">LK002</t>
  </si>
  <si>
    <t xml:space="preserve">Raspberry Pi 4 8GB</t>
  </si>
  <si>
    <t xml:space="preserve">LK003</t>
  </si>
  <si>
    <t xml:space="preserve">Mini PC Intel N100</t>
  </si>
  <si>
    <t xml:space="preserve">LK004</t>
  </si>
  <si>
    <t xml:space="preserve">Industrial Gateway X1</t>
  </si>
  <si>
    <t xml:space="preserve">HDD</t>
  </si>
  <si>
    <t xml:space="preserve">LK005</t>
  </si>
  <si>
    <t xml:space="preserve">Jetson Nano 4GB</t>
  </si>
  <si>
    <t xml:space="preserve">ma_tram</t>
  </si>
  <si>
    <t xml:space="preserve">dung_luong_ram</t>
  </si>
  <si>
    <t xml:space="preserve">ngay_lap_dat</t>
  </si>
  <si>
    <t xml:space="preserve">ma_linh_kien_sach</t>
  </si>
  <si>
    <t xml:space="preserve">sensor-01</t>
  </si>
  <si>
    <t xml:space="preserve">4GB</t>
  </si>
  <si>
    <t xml:space="preserve">sensor-02</t>
  </si>
  <si>
    <t xml:space="preserve">LK002 </t>
  </si>
  <si>
    <t xml:space="preserve">8GB</t>
  </si>
  <si>
    <t xml:space="preserve">sensor-03</t>
  </si>
  <si>
    <t xml:space="preserve"> LK001</t>
  </si>
  <si>
    <t xml:space="preserve">sensor-04</t>
  </si>
  <si>
    <t xml:space="preserve">sensor-05</t>
  </si>
  <si>
    <t xml:space="preserve">LK004  </t>
  </si>
  <si>
    <t xml:space="preserve">16GB</t>
  </si>
  <si>
    <t xml:space="preserve">sensor-06</t>
  </si>
  <si>
    <t xml:space="preserve">sensor-07</t>
  </si>
  <si>
    <t xml:space="preserve">sensor-08</t>
  </si>
  <si>
    <t xml:space="preserve">LK003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</si>
</sst>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1500000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2100000</v>
      </c>
      <c r="D3" s="2" t="s">
        <v>6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3200000</v>
      </c>
      <c r="D4" s="2" t="s">
        <v>6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4800000</v>
      </c>
      <c r="D5" s="2" t="s">
        <v>13</v>
      </c>
    </row>
    <row r="6" customFormat="false" ht="15" hidden="false" customHeight="false" outlineLevel="0" collapsed="false">
      <c r="A6" s="2" t="s">
        <v>14</v>
      </c>
      <c r="B6" s="2" t="s">
        <v>15</v>
      </c>
      <c r="C6" s="3" t="n">
        <v>3500000</v>
      </c>
      <c r="D6" s="2" t="s">
        <v>6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1</v>
      </c>
    </row>
    <row r="2" customFormat="false" ht="15" hidden="false" customHeight="false" outlineLevel="0" collapsed="false">
      <c r="A2" s="2" t="s">
        <v>20</v>
      </c>
      <c r="B2" s="2" t="s">
        <v>4</v>
      </c>
      <c r="C2" s="2" t="s">
        <v>21</v>
      </c>
      <c r="D2" s="4" t="n">
        <v>46032</v>
      </c>
      <c r="E2" s="2" t="str">
        <f aca="false">TRIM(B2)</f>
        <v>LK001</v>
      </c>
      <c r="F2" s="2" t="str">
        <f aca="false">VLOOKUP(E2,'danh-muc-linh-kien'!$A$2:$D$6,2,FALSE())</f>
        <v>Raspberry Pi 4 4GB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4" t="n">
        <v>46037</v>
      </c>
      <c r="E3" s="2" t="str">
        <f aca="false">TRIM(B3)</f>
        <v>LK002</v>
      </c>
      <c r="F3" s="2" t="str">
        <f aca="false">VLOOKUP(E3,'danh-muc-linh-kien'!$A$2:$D$6,2,FALSE())</f>
        <v>Raspberry Pi 4 8GB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21</v>
      </c>
      <c r="D4" s="4" t="n">
        <v>46055</v>
      </c>
      <c r="E4" s="2" t="str">
        <f aca="false">TRIM(B4)</f>
        <v>LK001</v>
      </c>
      <c r="F4" s="2" t="str">
        <f aca="false">VLOOKUP(E4,'danh-muc-linh-kien'!$A$2:$D$6,2,FALSE())</f>
        <v>Raspberry Pi 4 4GB</v>
      </c>
    </row>
    <row r="5" customFormat="false" ht="15" hidden="false" customHeight="false" outlineLevel="0" collapsed="false">
      <c r="A5" s="2" t="s">
        <v>27</v>
      </c>
      <c r="B5" s="2" t="s">
        <v>9</v>
      </c>
      <c r="C5" s="2" t="s">
        <v>24</v>
      </c>
      <c r="D5" s="4" t="n">
        <v>46073</v>
      </c>
      <c r="E5" s="2" t="str">
        <f aca="false">TRIM(B5)</f>
        <v>LK003</v>
      </c>
      <c r="F5" s="2" t="str">
        <f aca="false">VLOOKUP(E5,'danh-muc-linh-kien'!$A$2:$D$6,2,FALSE())</f>
        <v>Mini PC Intel N100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4" t="n">
        <v>46086</v>
      </c>
      <c r="E6" s="2" t="str">
        <f aca="false">TRIM(B6)</f>
        <v>LK004</v>
      </c>
      <c r="F6" s="2" t="str">
        <f aca="false">VLOOKUP(E6,'danh-muc-linh-kien'!$A$2:$D$6,2,FALSE())</f>
        <v>Industrial Gateway X1</v>
      </c>
    </row>
    <row r="7" customFormat="false" ht="15" hidden="false" customHeight="false" outlineLevel="0" collapsed="false">
      <c r="A7" s="2" t="s">
        <v>31</v>
      </c>
      <c r="B7" s="2" t="s">
        <v>14</v>
      </c>
      <c r="C7" s="2" t="s">
        <v>21</v>
      </c>
      <c r="D7" s="4" t="n">
        <v>46099</v>
      </c>
      <c r="E7" s="2" t="str">
        <f aca="false">TRIM(B7)</f>
        <v>LK005</v>
      </c>
      <c r="F7" s="2" t="str">
        <f aca="false">VLOOKUP(E7,'danh-muc-linh-kien'!$A$2:$D$6,2,FALSE())</f>
        <v>Jetson Nano 4GB</v>
      </c>
    </row>
    <row r="8" customFormat="false" ht="15" hidden="false" customHeight="false" outlineLevel="0" collapsed="false">
      <c r="A8" s="2" t="s">
        <v>32</v>
      </c>
      <c r="B8" s="2" t="s">
        <v>7</v>
      </c>
      <c r="C8" s="2" t="s">
        <v>24</v>
      </c>
      <c r="D8" s="4" t="n">
        <v>46113</v>
      </c>
      <c r="E8" s="2" t="str">
        <f aca="false">TRIM(B8)</f>
        <v>LK002</v>
      </c>
      <c r="F8" s="2" t="str">
        <f aca="false">VLOOKUP(E8,'danh-muc-linh-kien'!$A$2:$D$6,2,FALSE())</f>
        <v>Raspberry Pi 4 8GB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24</v>
      </c>
      <c r="D9" s="4" t="n">
        <v>46124</v>
      </c>
      <c r="E9" s="2" t="str">
        <f aca="false">TRIM(B9)</f>
        <v>LK003</v>
      </c>
      <c r="F9" s="2" t="str">
        <f aca="false">VLOOKUP(E9,'danh-muc-linh-kien'!$A$2:$D$6,2,FALSE())</f>
        <v>Mini PC Intel N100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2026-10-30T05:19:39Z</dcterms:created>
  <dc:creator>openpyxl</dc:creator>
  <dc:description/>
  <dc:language>en-US</dc:language>
  <cp:lastModifiedBy/>
  <dcterms:modified xsi:type="dcterms:W3CDTF">2026-10-30T05:19:39Z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